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Notes" sheetId="2" state="visible" r:id="rId4"/>
    <sheet name="Lookup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Synthetic note for the laptops line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17</xdr:rowOff>
              </xdr:from>
              <xdr:to>
                <xdr:col>2</xdr:col>
                <xdr:colOff>47</xdr:colOff>
                <xdr:row>2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<sst xmlns="http://schemas.openxmlformats.org/spreadsheetml/2006/main" count="21" uniqueCount="16">
  <si>
    <t xml:space="preserve">Team Budget</t>
  </si>
  <si>
    <t xml:space="preserve">Item</t>
  </si>
  <si>
    <t xml:space="preserve">Q1</t>
  </si>
  <si>
    <t xml:space="preserve">Q2</t>
  </si>
  <si>
    <t xml:space="preserve">Total</t>
  </si>
  <si>
    <t xml:space="preserve">Share</t>
  </si>
  <si>
    <t xml:space="preserve">Due</t>
  </si>
  <si>
    <t xml:space="preserve">Status</t>
  </si>
  <si>
    <t xml:space="preserve">Laptops</t>
  </si>
  <si>
    <t xml:space="preserve">Open</t>
  </si>
  <si>
    <t xml:space="preserve">Software</t>
  </si>
  <si>
    <t xml:space="preserve">Closed</t>
  </si>
  <si>
    <t xml:space="preserve">Travel</t>
  </si>
  <si>
    <t xml:space="preserve">Training</t>
  </si>
  <si>
    <t xml:space="preserve">Synthetic notes — café ünïcode</t>
  </si>
  <si>
    <t xml:space="preserve">Blocked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</si>
</sst>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#,##0.00"/>
    <numFmt numFmtId="166" formatCode="[$-409]0.0%"/>
    <numFmt numFmtId="167" formatCode="[$-409]yyyy\-mm\-dd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2"/>
    </font>
    <font>
      <b val="true"/>
      <sz val="10"/>
      <name val="Arial"/>
      <family val="2"/>
    </font>
    <font>
      <sz val="10"/>
      <name val="Georgia"/>
      <family val="2"/>
    </font>
    <font>
      <i val="true"/>
      <sz val="10"/>
      <name val="Arial"/>
      <family val="2"/>
    </font>
    <font>
      <u val="single"/>
      <sz val="10"/>
      <name val="Arial"/>
      <family val="2"/>
    </font>
    <font>
      <strike val="true"/>
      <sz val="10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87D8B"/>
      <rgbColor rgb="FFB3B3B3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Quarterly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Budget!$B$3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Budget!$A$4:$A$7</c:f>
              <c:strCache>
                <c:ptCount val="4"/>
                <c:pt idx="0">
                  <c:v>Laptops</c:v>
                </c:pt>
                <c:pt idx="1">
                  <c:v>Software</c:v>
                </c:pt>
                <c:pt idx="2">
                  <c:v>Travel</c:v>
                </c:pt>
                <c:pt idx="3">
                  <c:v>Training</c:v>
                </c:pt>
              </c:strCache>
            </c:strRef>
          </c:cat>
          <c:val>
            <c:numRef>
              <c:f>Budget!$B$4:$B$7</c:f>
              <c:numCache>
                <c:formatCode>[$-409]#,##0.00</c:formatCode>
                <c:ptCount val="4"/>
                <c:pt idx="0">
                  <c:v>1200</c:v>
                </c:pt>
                <c:pt idx="1">
                  <c:v>450.5</c:v>
                </c:pt>
                <c:pt idx="2">
                  <c:v>300</c:v>
                </c:pt>
                <c:pt idx="3">
                  <c:v>99</c:v>
                </c:pt>
              </c:numCache>
            </c:numRef>
          </c:val>
        </c:ser>
        <c:ser>
          <c:idx val="1"/>
          <c:order val="1"/>
          <c:tx>
            <c:strRef>
              <c:f>Budget!$C$3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Budget!$A$4:$A$7</c:f>
              <c:strCache>
                <c:ptCount val="4"/>
                <c:pt idx="0">
                  <c:v>Laptops</c:v>
                </c:pt>
                <c:pt idx="1">
                  <c:v>Software</c:v>
                </c:pt>
                <c:pt idx="2">
                  <c:v>Travel</c:v>
                </c:pt>
                <c:pt idx="3">
                  <c:v>Training</c:v>
                </c:pt>
              </c:strCache>
            </c:strRef>
          </c:cat>
          <c:val>
            <c:numRef>
              <c:f>Budget!$C$4:$C$7</c:f>
              <c:numCache>
                <c:formatCode>[$-409]#,##0.00</c:formatCode>
                <c:ptCount val="4"/>
                <c:pt idx="0">
                  <c:v>900</c:v>
                </c:pt>
                <c:pt idx="1">
                  <c:v>480</c:v>
                </c:pt>
                <c:pt idx="2">
                  <c:v>75.25</c:v>
                </c:pt>
                <c:pt idx="3">
                  <c:v>140</c:v>
                </c:pt>
              </c:numCache>
            </c:numRef>
          </c:val>
        </c:ser>
        <c:gapWidth val="100"/>
        <c:overlap val="0"/>
        <c:axId val="82603227"/>
        <c:axId val="81209105"/>
      </c:barChart>
      <c:catAx>
        <c:axId val="826032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1209105"/>
        <c:crosses val="autoZero"/>
        <c:auto val="1"/>
        <c:lblAlgn val="ctr"/>
        <c:lblOffset val="100"/>
        <c:noMultiLvlLbl val="0"/>
      </c:catAx>
      <c:valAx>
        <c:axId val="812091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2603227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Budget!$A$4:$A$7</c:f>
              <c:strCache>
                <c:ptCount val="4"/>
                <c:pt idx="0">
                  <c:v>Laptops</c:v>
                </c:pt>
                <c:pt idx="1">
                  <c:v>Software</c:v>
                </c:pt>
                <c:pt idx="2">
                  <c:v>Travel</c:v>
                </c:pt>
                <c:pt idx="3">
                  <c:v>Training</c:v>
                </c:pt>
              </c:strCache>
            </c:strRef>
          </c:cat>
          <c:val>
            <c:numRef>
              <c:f>Budget!$B$4:$B$7</c:f>
              <c:numCache>
                <c:formatCode>[$-409]#,##0.00</c:formatCode>
                <c:ptCount val="4"/>
                <c:pt idx="0">
                  <c:v>1200</c:v>
                </c:pt>
                <c:pt idx="1">
                  <c:v>450.5</c:v>
                </c:pt>
                <c:pt idx="2">
                  <c:v>300</c:v>
                </c:pt>
                <c:pt idx="3">
                  <c:v>99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0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360000</xdr:colOff>
      <xdr:row>10</xdr:row>
      <xdr:rowOff>135360</xdr:rowOff>
    </xdr:from>
    <xdr:to>
      <xdr:col>5</xdr:col>
      <xdr:colOff>60480</xdr:colOff>
      <xdr:row>26</xdr:row>
      <xdr:rowOff>54000</xdr:rowOff>
    </xdr:to>
    <xdr:graphicFrame>
      <xdr:nvGraphicFramePr>
        <xdr:cNvPr id="1" name=""/>
        <xdr:cNvGraphicFramePr/>
      </xdr:nvGraphicFramePr>
      <xdr:xfrm>
        <a:off x="360000" y="1980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420840</xdr:colOff>
      <xdr:row>10</xdr:row>
      <xdr:rowOff>135360</xdr:rowOff>
    </xdr:from>
    <xdr:to>
      <xdr:col>10</xdr:col>
      <xdr:colOff>409320</xdr:colOff>
      <xdr:row>26</xdr:row>
      <xdr:rowOff>54000</xdr:rowOff>
    </xdr:to>
    <xdr:graphicFrame>
      <xdr:nvGraphicFramePr>
        <xdr:cNvPr id="2" name=""/>
        <xdr:cNvGraphicFramePr/>
      </xdr:nvGraphicFramePr>
      <xdr:xfrm>
        <a:off x="5040000" y="198000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dgetFilter" displayName="BudgetFilter" ref="A3:G7" headerRowCount="1" totalsRowCount="0" totalsRowShown="0">
  <autoFilter ref="A3:G7"/>
  <tableColumns count="7">
    <tableColumn id="1" name="Item"/>
    <tableColumn id="2" name="Q1"/>
    <tableColumn id="3" name="Q2"/>
    <tableColumn id="4" name="Total"/>
    <tableColumn id="5" name="Share"/>
    <tableColumn id="6" name="Due"/>
    <tableColumn id="7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7D8B"/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4"/>
    <col collapsed="false" customWidth="false" hidden="true" outlineLevel="0" max="8" min="8" style="0" width="11.5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/>
    <row r="3" customFormat="false" ht="12.8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2.8" hidden="false" customHeight="false" outlineLevel="0" collapsed="false">
      <c r="A4" s="4" t="s">
        <v>8</v>
      </c>
      <c r="B4" s="5" t="n">
        <v>1200</v>
      </c>
      <c r="C4" s="6" t="n">
        <v>900</v>
      </c>
      <c r="D4" s="5" t="n">
        <f aca="false">B4+C4</f>
        <v>2100</v>
      </c>
      <c r="E4" s="7" t="n">
        <f aca="false">D4/$D$8</f>
        <v>0.576171205158104</v>
      </c>
      <c r="F4" s="8" t="n">
        <v>46022</v>
      </c>
      <c r="G4" s="9" t="s">
        <v>9</v>
      </c>
    </row>
    <row r="5" customFormat="false" ht="12.8" hidden="false" customHeight="false" outlineLevel="0" collapsed="false">
      <c r="A5" s="4" t="s">
        <v>10</v>
      </c>
      <c r="B5" s="5" t="n">
        <v>450.5</v>
      </c>
      <c r="C5" s="5" t="n">
        <v>480</v>
      </c>
      <c r="D5" s="5" t="n">
        <f aca="false">B5+C5</f>
        <v>930.5</v>
      </c>
      <c r="E5" s="7" t="n">
        <f aca="false">D5/$D$8</f>
        <v>0.25529871733315</v>
      </c>
      <c r="F5" s="8" t="n">
        <v>46053</v>
      </c>
      <c r="G5" s="9" t="s">
        <v>11</v>
      </c>
    </row>
    <row r="6" customFormat="false" ht="12.8" hidden="false" customHeight="false" outlineLevel="0" collapsed="false">
      <c r="A6" s="10" t="s">
        <v>12</v>
      </c>
      <c r="B6" s="5" t="n">
        <v>300</v>
      </c>
      <c r="C6" s="5" t="n">
        <v>75.25</v>
      </c>
      <c r="D6" s="5" t="n">
        <f aca="false">B6+C6</f>
        <v>375.25</v>
      </c>
      <c r="E6" s="7" t="n">
        <f aca="false">D6/$D$8</f>
        <v>0.102956307016942</v>
      </c>
      <c r="F6" s="8" t="n">
        <v>46084</v>
      </c>
      <c r="G6" s="9" t="s">
        <v>9</v>
      </c>
    </row>
    <row r="7" customFormat="false" ht="12.8" hidden="false" customHeight="false" outlineLevel="0" collapsed="false">
      <c r="A7" s="11" t="s">
        <v>13</v>
      </c>
      <c r="B7" s="12" t="n">
        <v>99</v>
      </c>
      <c r="C7" s="5" t="n">
        <v>140</v>
      </c>
      <c r="D7" s="5" t="n">
        <f aca="false">B7+C7</f>
        <v>239</v>
      </c>
      <c r="E7" s="7" t="n">
        <f aca="false">D7/$D$8</f>
        <v>0.0655737704918033</v>
      </c>
      <c r="F7" s="8" t="n">
        <v>46115</v>
      </c>
      <c r="G7" s="9" t="s">
        <v>11</v>
      </c>
    </row>
    <row r="8" customFormat="false" ht="12.8" hidden="false" customHeight="false" outlineLevel="0" collapsed="false">
      <c r="A8" s="13" t="s">
        <v>4</v>
      </c>
      <c r="B8" s="5" t="n">
        <f aca="false">SUM(B4:B7)</f>
        <v>2049.5</v>
      </c>
      <c r="C8" s="5" t="n">
        <f aca="false">SUM(C4:C7)</f>
        <v>1595.25</v>
      </c>
      <c r="D8" s="5" t="n">
        <f aca="false">SUM(D4:D7)</f>
        <v>3644.75</v>
      </c>
    </row>
  </sheetData>
  <mergeCells count="1">
    <mergeCell ref="A1:E1"/>
  </mergeCells>
  <conditionalFormatting sqref="D4:D7">
    <cfRule type="cellIs" priority="2" operator="greaterThan" aboveAverage="0" equalAverage="0" bottom="0" percent="0" rank="0" text="" dxfId="4">
      <formula>1000</formula>
    </cfRule>
  </conditionalFormatting>
  <dataValidations count="2">
    <dataValidation allowBlank="true" error="Pick a listed status" errorStyle="stop" operator="equal" showDropDown="false" showErrorMessage="true" showInputMessage="false" sqref="G4:G7" type="list">
      <formula1>Lookup!$A$1:$A$3</formula1>
      <formula2>0</formula2>
    </dataValidation>
    <dataValidation allowBlank="true" errorStyle="stop" operator="between" showDropDown="false" showErrorMessage="true" showInputMessage="false" sqref="B4:B7" type="decimal">
      <formula1>0</formula1>
      <formula2>5000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14</v>
      </c>
      <c r="B1" s="0" t="n">
        <v>1</v>
      </c>
      <c r="C1" s="0" t="n">
        <f aca="false">B1*10</f>
        <v>10</v>
      </c>
    </row>
    <row r="2" customFormat="false" ht="12.8" hidden="false" customHeight="false" outlineLevel="0" collapsed="false">
      <c r="A2" s="0" t="e">
        <f aca="false">1/0</f>
        <v>#DIV/0!</v>
      </c>
      <c r="B2" s="0" t="n">
        <v>2</v>
      </c>
      <c r="C2" s="0" t="n">
        <f aca="false">B2*10</f>
        <v>20</v>
      </c>
    </row>
    <row r="3" customFormat="false" ht="12.8" hidden="false" customHeight="false" outlineLevel="0" collapsed="false">
      <c r="A3" s="0" t="str">
        <f aca="false">UPPER("mixed")</f>
        <v>MIXED</v>
      </c>
    </row>
    <row r="4" customFormat="false" ht="12.8" hidden="false" customHeight="false" outlineLevel="0" collapsed="false">
      <c r="A4" s="0" t="b">
        <f aca="false">TRUE()</f>
        <v>1</v>
      </c>
    </row>
    <row r="5" customFormat="false" ht="12.8" hidden="false" customHeight="false" outlineLevel="0" collapsed="false">
      <c r="A5" s="0" t="n">
        <f aca="false">Budget!D8*2</f>
        <v>7289.5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9</v>
      </c>
    </row>
    <row r="2" customFormat="false" ht="12.8" hidden="false" customHeight="false" outlineLevel="0" collapsed="false">
      <c r="A2" s="0" t="s">
        <v>11</v>
      </c>
    </row>
    <row r="3" customFormat="false" ht="12.8" hidden="false" customHeight="false" outlineLevel="0" collapsed="false">
      <c r="A3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2026-10-29T09:41:23Z</dcterms:modified>
  <cp:revision>1</cp:revision>
  <dc:subject/>
  <dc:title/>
</cp:coreProperties>
</file>